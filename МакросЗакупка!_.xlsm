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Z:\Закупки\МакросЗакупка\"/>
    </mc:Choice>
  </mc:AlternateContent>
  <xr:revisionPtr revIDLastSave="0" documentId="13_ncr:1_{510A7D63-E85F-4282-AAA6-501049DB28B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</sheets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2" i="1"/>
</calcChain>
</file>

<file path=xl/sharedStrings.xml><?xml version="1.0" encoding="utf-8"?>
<sst xmlns="http://schemas.openxmlformats.org/spreadsheetml/2006/main" count="421" uniqueCount="245">
  <si>
    <t>Артикул</t>
  </si>
  <si>
    <t>Номенклатура</t>
  </si>
  <si>
    <t>Действия</t>
  </si>
  <si>
    <t>Количество</t>
  </si>
  <si>
    <t>Ячейка</t>
  </si>
  <si>
    <t>Куда входит</t>
  </si>
  <si>
    <t>Диод BAV99 SOT-23</t>
  </si>
  <si>
    <t>Конденсатор 1 мкф 0805 100В X7R</t>
  </si>
  <si>
    <t>Резервировать на складе</t>
  </si>
  <si>
    <t>00000045140</t>
  </si>
  <si>
    <t>К обеспечению</t>
  </si>
  <si>
    <t>00000064660</t>
  </si>
  <si>
    <t>225</t>
  </si>
  <si>
    <t>220</t>
  </si>
  <si>
    <t>Диод BAS3010A03WE6327HTSA1</t>
  </si>
  <si>
    <t>00000064728</t>
  </si>
  <si>
    <t>ма32</t>
  </si>
  <si>
    <t>Модуль абонентский МА-32-7 автомат.монтаж</t>
  </si>
  <si>
    <t>Модуль абонентский МА-32 автомат.монтаж 13.08.2021</t>
  </si>
  <si>
    <t>Индуктивность 1,0 мкГн 0805 5% B82498B1102J</t>
  </si>
  <si>
    <t>00000053443</t>
  </si>
  <si>
    <t>531</t>
  </si>
  <si>
    <t>Модуль абонентский МА-41 автомат.монтаж 13.08.21</t>
  </si>
  <si>
    <t>Индуктивность 10 нГн 0805 5% B82498B3100J000</t>
  </si>
  <si>
    <t>00000059644</t>
  </si>
  <si>
    <t>939</t>
  </si>
  <si>
    <t>Индуктивность 100 нГн 0805 B82498B3101</t>
  </si>
  <si>
    <t>00000053438</t>
  </si>
  <si>
    <t>825</t>
  </si>
  <si>
    <t>Индуктивность 150 нГн 0805 B82498B3151</t>
  </si>
  <si>
    <t>00000059648</t>
  </si>
  <si>
    <t>230</t>
  </si>
  <si>
    <t>Индуктивность 39 нГн 0805 5% B82498B3390J000</t>
  </si>
  <si>
    <t>00000059637</t>
  </si>
  <si>
    <t>Индуктивность BLM21AG601SN1D</t>
  </si>
  <si>
    <t>00000056993</t>
  </si>
  <si>
    <t>935</t>
  </si>
  <si>
    <t>Кварц 16,0 МГц SMD03225C4\12\10\15/-40~85C\SMD3225\1Г (ООО Кварц)</t>
  </si>
  <si>
    <t>00000063657</t>
  </si>
  <si>
    <t>816</t>
  </si>
  <si>
    <t>Конденсатор 1 мкФ 0603 16В X7R 10%</t>
  </si>
  <si>
    <t>00000058173</t>
  </si>
  <si>
    <t>912</t>
  </si>
  <si>
    <t>Конденсатор 1 мкФ 0603 50 В</t>
  </si>
  <si>
    <t>00000061142</t>
  </si>
  <si>
    <t>940</t>
  </si>
  <si>
    <t>Конденсатор 1 нФ 0603 50В</t>
  </si>
  <si>
    <t>00000053285</t>
  </si>
  <si>
    <t>937</t>
  </si>
  <si>
    <t>Конденсатор 1 пФ 0603 50В</t>
  </si>
  <si>
    <t>00000052600</t>
  </si>
  <si>
    <t>734</t>
  </si>
  <si>
    <t>Конденсатор 10 мкФ (Case А) 16В 10%</t>
  </si>
  <si>
    <t>00000059585</t>
  </si>
  <si>
    <t>Конденсатор 10 мкФ 1206 50В X7R 10%</t>
  </si>
  <si>
    <t>00000061215</t>
  </si>
  <si>
    <t>121</t>
  </si>
  <si>
    <t>Конденсатор 10 нФ 0603 50В X7R 10%</t>
  </si>
  <si>
    <t>00000053025</t>
  </si>
  <si>
    <t>128</t>
  </si>
  <si>
    <t>Конденсатор 10 пФ 0603 50В NP0</t>
  </si>
  <si>
    <t>00000052607</t>
  </si>
  <si>
    <t>137</t>
  </si>
  <si>
    <t>Конденсатор 100 нФ 0603 50В X7R 10%</t>
  </si>
  <si>
    <t>00000059311</t>
  </si>
  <si>
    <t>347</t>
  </si>
  <si>
    <t>Конденсатор 12 пФ 0603 50В NP0</t>
  </si>
  <si>
    <t>00000058415</t>
  </si>
  <si>
    <t>Конденсатор 15 нФ 0603 50В X7R 10%</t>
  </si>
  <si>
    <t>00000059322</t>
  </si>
  <si>
    <t>913</t>
  </si>
  <si>
    <t>Конденсатор 15 пФ 0603 50В NP0 5%</t>
  </si>
  <si>
    <t>00000052608</t>
  </si>
  <si>
    <t>716</t>
  </si>
  <si>
    <t>Конденсатор 16 пФ 0603 50В</t>
  </si>
  <si>
    <t>00000056982</t>
  </si>
  <si>
    <t>717</t>
  </si>
  <si>
    <t>Конденсатор 18 пФ 0603 50В NP0</t>
  </si>
  <si>
    <t>00000053086</t>
  </si>
  <si>
    <t>715</t>
  </si>
  <si>
    <t>Конденсатор 2,2 мкФ 0805 25В X7R</t>
  </si>
  <si>
    <t>00000062181</t>
  </si>
  <si>
    <t>745</t>
  </si>
  <si>
    <t>Конденсатор 2,2 мкФ 0805 50В X7R</t>
  </si>
  <si>
    <t>00000059864</t>
  </si>
  <si>
    <t>Конденсатор 2,7 нФ 0603 50В NP0</t>
  </si>
  <si>
    <t>00000059308</t>
  </si>
  <si>
    <t>917</t>
  </si>
  <si>
    <t>Конденсатор 22 нФ 0603 50В X7R 10%</t>
  </si>
  <si>
    <t>00000059310</t>
  </si>
  <si>
    <t>637</t>
  </si>
  <si>
    <t>Конденсатор 22 пФ 0603 50В NP0 5%</t>
  </si>
  <si>
    <t>00000053269</t>
  </si>
  <si>
    <t>723</t>
  </si>
  <si>
    <t>Конденсатор 220 нФ 0603 5% X7R 50В</t>
  </si>
  <si>
    <t>00000062111</t>
  </si>
  <si>
    <t>638</t>
  </si>
  <si>
    <t>Конденсатор 220 пФ 0603 NP0 50В</t>
  </si>
  <si>
    <t>00000059559</t>
  </si>
  <si>
    <t>916</t>
  </si>
  <si>
    <t>Конденсатор 33 пФ 0603 50В NP0 5%</t>
  </si>
  <si>
    <t>00000053022</t>
  </si>
  <si>
    <t>229</t>
  </si>
  <si>
    <t>Конденсатор 4,3 пФ 0603 50В NP0</t>
  </si>
  <si>
    <t>00000055288</t>
  </si>
  <si>
    <t>633</t>
  </si>
  <si>
    <t>Конденсатор 4,7 мкФ 0603 X7R</t>
  </si>
  <si>
    <t>00000063516</t>
  </si>
  <si>
    <t>Конденсатор 4,7 нФ 0603 50В X7R 5%</t>
  </si>
  <si>
    <t>00000059776</t>
  </si>
  <si>
    <t>643</t>
  </si>
  <si>
    <t>Конденсатор 47 мкФ Case C (6032) 16В танталовый</t>
  </si>
  <si>
    <t>00000054121</t>
  </si>
  <si>
    <t>Конденсатор 470 пФ 1206 500В NP0</t>
  </si>
  <si>
    <t>00000059875</t>
  </si>
  <si>
    <t>805</t>
  </si>
  <si>
    <t>Конденсатор 5,6 нФ 0805 50В</t>
  </si>
  <si>
    <t>00-00000559</t>
  </si>
  <si>
    <t>Конденсатор 560 пФ 0805 50В NP0 5%</t>
  </si>
  <si>
    <t>00000057427</t>
  </si>
  <si>
    <t>519</t>
  </si>
  <si>
    <t>Конденсатор 680 пФ 0603 50В NP0 5%</t>
  </si>
  <si>
    <t>00000057862</t>
  </si>
  <si>
    <t>815</t>
  </si>
  <si>
    <t>Конденсатор 82 пФ 0603 50В NP0 5%</t>
  </si>
  <si>
    <t>00000053093</t>
  </si>
  <si>
    <t>Микросхема 24LC64T-I/OT</t>
  </si>
  <si>
    <t>00000063554</t>
  </si>
  <si>
    <t>Микросхема ADF7021BCPZ AD</t>
  </si>
  <si>
    <t>00000057578</t>
  </si>
  <si>
    <t>901 1-1014</t>
  </si>
  <si>
    <t>Микросхема AT86RF233</t>
  </si>
  <si>
    <t>00000063519</t>
  </si>
  <si>
    <t>835 1-1013</t>
  </si>
  <si>
    <t>Микросхема CC2591</t>
  </si>
  <si>
    <t>00000063518</t>
  </si>
  <si>
    <t>1-1012</t>
  </si>
  <si>
    <t>Микросхема LSM303DLHC</t>
  </si>
  <si>
    <t>00000060654</t>
  </si>
  <si>
    <t>Микросхема MCP1703-3302E/DB</t>
  </si>
  <si>
    <t>00000063523</t>
  </si>
  <si>
    <t>1002 1-1015</t>
  </si>
  <si>
    <t>Микросхема OPA376AIDBVT</t>
  </si>
  <si>
    <t>00000060532</t>
  </si>
  <si>
    <t>827 ма32</t>
  </si>
  <si>
    <t>Микросхема SN74AHC1G125DCK</t>
  </si>
  <si>
    <t>00000061554</t>
  </si>
  <si>
    <t>828</t>
  </si>
  <si>
    <t>Микросхема STM32L151C8U6</t>
  </si>
  <si>
    <t>00000061545</t>
  </si>
  <si>
    <t>802</t>
  </si>
  <si>
    <t>Микросхема STM32L476RCT6</t>
  </si>
  <si>
    <t>00000063522</t>
  </si>
  <si>
    <t>836 1-1016</t>
  </si>
  <si>
    <t>Микросхема TLV320ADC3101IRGE</t>
  </si>
  <si>
    <t>00000061555</t>
  </si>
  <si>
    <t>840 ма32</t>
  </si>
  <si>
    <t>Микросхема TPS71518DCKR</t>
  </si>
  <si>
    <t>00-00000573</t>
  </si>
  <si>
    <t>Микросхема TPS71530DCKR</t>
  </si>
  <si>
    <t>00000055232</t>
  </si>
  <si>
    <t>830 ма32</t>
  </si>
  <si>
    <t>Микросхема TPS76318DBV</t>
  </si>
  <si>
    <t>00000056276</t>
  </si>
  <si>
    <t>2-2002</t>
  </si>
  <si>
    <t>Печатная плата MA-32-7</t>
  </si>
  <si>
    <t>00-00000574</t>
  </si>
  <si>
    <t>Печатная плата MAUP_41 v1.4</t>
  </si>
  <si>
    <t>00-00000520</t>
  </si>
  <si>
    <t>Печатная плата МА-32</t>
  </si>
  <si>
    <t>00000061493</t>
  </si>
  <si>
    <t>Резистор 1 кОм 0603 5%</t>
  </si>
  <si>
    <t>00000052641</t>
  </si>
  <si>
    <t>521</t>
  </si>
  <si>
    <t>Резистор 1 МОм 0603, 5%</t>
  </si>
  <si>
    <t>00000052663</t>
  </si>
  <si>
    <t>451</t>
  </si>
  <si>
    <t>Резистор 1,1 кОм 0603 5%</t>
  </si>
  <si>
    <t>00000059326</t>
  </si>
  <si>
    <t>322</t>
  </si>
  <si>
    <t>Резистор 10 кОм 0603 1%</t>
  </si>
  <si>
    <t>00000058446</t>
  </si>
  <si>
    <t>233</t>
  </si>
  <si>
    <t>Резистор 10 кОм 0603 5%</t>
  </si>
  <si>
    <t>00000052650</t>
  </si>
  <si>
    <t>932</t>
  </si>
  <si>
    <t>Резистор 10 МОм 0603 5%</t>
  </si>
  <si>
    <t>00000061611</t>
  </si>
  <si>
    <t>616</t>
  </si>
  <si>
    <t>Резистор 100 кОм 0603 5%</t>
  </si>
  <si>
    <t>00000052660</t>
  </si>
  <si>
    <t>140</t>
  </si>
  <si>
    <t>Резистор 100 Ом 0603 5%</t>
  </si>
  <si>
    <t>00000052633</t>
  </si>
  <si>
    <t>332</t>
  </si>
  <si>
    <t>Резистор 100 Ом 2512 5%</t>
  </si>
  <si>
    <t>00000057766</t>
  </si>
  <si>
    <t>Резистор 2 кОм 0603 5%</t>
  </si>
  <si>
    <t>00000052644</t>
  </si>
  <si>
    <t>327</t>
  </si>
  <si>
    <t>Резистор 200 Ом 0603 5%</t>
  </si>
  <si>
    <t>00000052635</t>
  </si>
  <si>
    <t>315</t>
  </si>
  <si>
    <t>Резистор 22 кОм 0603 5%</t>
  </si>
  <si>
    <t>00-00000742</t>
  </si>
  <si>
    <t>307</t>
  </si>
  <si>
    <t>Резистор 3,6 кОм 0603 5%</t>
  </si>
  <si>
    <t>00000059327</t>
  </si>
  <si>
    <t>349</t>
  </si>
  <si>
    <t>Резистор 3,9 Ом 0603 1%</t>
  </si>
  <si>
    <t>00000060965</t>
  </si>
  <si>
    <t>249</t>
  </si>
  <si>
    <t>Резистор 30 Ом 0603 5%</t>
  </si>
  <si>
    <t>00000053299</t>
  </si>
  <si>
    <t>410</t>
  </si>
  <si>
    <t>Резистор 4,3 кОм 0603 5%</t>
  </si>
  <si>
    <t>00000063521</t>
  </si>
  <si>
    <t>Резистор 47 кОм 0603 5%</t>
  </si>
  <si>
    <t>00000052657</t>
  </si>
  <si>
    <t>142</t>
  </si>
  <si>
    <t>Резистор 470 Ом 0603 5%</t>
  </si>
  <si>
    <t>00000052637</t>
  </si>
  <si>
    <t>941</t>
  </si>
  <si>
    <t>Резистор 620 Ом 0603 5%</t>
  </si>
  <si>
    <t>00000053310</t>
  </si>
  <si>
    <t>544</t>
  </si>
  <si>
    <t>Светодиод KP-1608CGCK (зелёный)</t>
  </si>
  <si>
    <t>00000063517</t>
  </si>
  <si>
    <t>Транзистор BC848B SOT23</t>
  </si>
  <si>
    <t>00000056747</t>
  </si>
  <si>
    <t>938</t>
  </si>
  <si>
    <t>Транзистор BC857B</t>
  </si>
  <si>
    <t>00000061598</t>
  </si>
  <si>
    <t>123</t>
  </si>
  <si>
    <t>Транзистор IRF5806</t>
  </si>
  <si>
    <t>00000061599</t>
  </si>
  <si>
    <t>845</t>
  </si>
  <si>
    <t>Транзистор IRLML2030TRPBF</t>
  </si>
  <si>
    <t>00-00000572</t>
  </si>
  <si>
    <t>Транзистор IRLML2502TRPBF</t>
  </si>
  <si>
    <t>00000058948</t>
  </si>
  <si>
    <t>126</t>
  </si>
  <si>
    <t>Транзистор IRLML6402TRPBF</t>
  </si>
  <si>
    <t>00000059768</t>
  </si>
  <si>
    <t>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</si>
</sst>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69;&#1090;&#1072;&#1087;4&#1080;&#1090;&#1086;&#107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">
          <cell r="A1" t="str">
            <v>Названия строк</v>
          </cell>
          <cell r="B1" t="str">
            <v>Сумма по полю Количество</v>
          </cell>
          <cell r="C1" t="str">
            <v>на складе</v>
          </cell>
          <cell r="D1" t="str">
            <v>Купить</v>
          </cell>
        </row>
        <row r="2">
          <cell r="A2" t="str">
            <v>Диод BAS3010A03WE6327HTSA1</v>
          </cell>
          <cell r="B2">
            <v>578</v>
          </cell>
          <cell r="C2">
            <v>28</v>
          </cell>
          <cell r="D2">
            <v>578</v>
          </cell>
        </row>
        <row r="3">
          <cell r="A3" t="str">
            <v>Диод BAV99 SOT-23</v>
          </cell>
          <cell r="B3">
            <v>2312</v>
          </cell>
          <cell r="C3">
            <v>0</v>
          </cell>
          <cell r="D3">
            <v>2312</v>
          </cell>
        </row>
        <row r="4">
          <cell r="A4" t="str">
            <v>Индуктивность 1,0 мкГн 0805 5% B82498B1102J</v>
          </cell>
          <cell r="B4">
            <v>578</v>
          </cell>
          <cell r="C4">
            <v>250</v>
          </cell>
          <cell r="D4">
            <v>578</v>
          </cell>
        </row>
        <row r="5">
          <cell r="A5" t="str">
            <v>Индуктивность 10 нГн 0805 5% B82498B3100J000</v>
          </cell>
          <cell r="B5">
            <v>578</v>
          </cell>
          <cell r="C5">
            <v>90</v>
          </cell>
          <cell r="D5">
            <v>578</v>
          </cell>
        </row>
        <row r="6">
          <cell r="A6" t="str">
            <v>Индуктивность 100 нГн 0805 B82498B3101</v>
          </cell>
          <cell r="B6">
            <v>578</v>
          </cell>
          <cell r="C6">
            <v>84</v>
          </cell>
          <cell r="D6">
            <v>578</v>
          </cell>
        </row>
        <row r="7">
          <cell r="A7" t="str">
            <v>Индуктивность 150 нГн 0805 B82498B3151</v>
          </cell>
          <cell r="B7">
            <v>578</v>
          </cell>
          <cell r="C7">
            <v>258</v>
          </cell>
          <cell r="D7">
            <v>578</v>
          </cell>
        </row>
        <row r="8">
          <cell r="A8" t="str">
            <v>Индуктивность 39 нГн 0805 5% B82498B3390J000</v>
          </cell>
          <cell r="B8">
            <v>578</v>
          </cell>
          <cell r="C8">
            <v>0</v>
          </cell>
          <cell r="D8">
            <v>578</v>
          </cell>
        </row>
        <row r="9">
          <cell r="A9" t="str">
            <v>Индуктивность BLM21AG601SN1D</v>
          </cell>
          <cell r="B9">
            <v>1156</v>
          </cell>
          <cell r="C9">
            <v>0</v>
          </cell>
          <cell r="D9">
            <v>1156</v>
          </cell>
        </row>
        <row r="10">
          <cell r="A10" t="str">
            <v>Кварц 16,0 МГц SMD03225C4\12\10\15/-40~85C\SMD3225\1Г (ООО Кварц)</v>
          </cell>
          <cell r="B10">
            <v>2890</v>
          </cell>
          <cell r="C10">
            <v>0</v>
          </cell>
          <cell r="D10">
            <v>2890</v>
          </cell>
        </row>
        <row r="11">
          <cell r="A11" t="str">
            <v>Конденсатор 1 мкФ 0603 16В X7R 10%</v>
          </cell>
          <cell r="B11">
            <v>2890</v>
          </cell>
          <cell r="C11">
            <v>0</v>
          </cell>
          <cell r="D11">
            <v>2890</v>
          </cell>
        </row>
        <row r="12">
          <cell r="A12" t="str">
            <v>Конденсатор 1 мкФ 0603 50 В</v>
          </cell>
          <cell r="B12">
            <v>1734</v>
          </cell>
          <cell r="C12">
            <v>0</v>
          </cell>
          <cell r="D12">
            <v>1734</v>
          </cell>
        </row>
        <row r="13">
          <cell r="A13" t="str">
            <v>Конденсатор 1 мкф 0805 100В X7R</v>
          </cell>
          <cell r="B13">
            <v>1156</v>
          </cell>
          <cell r="C13">
            <v>8</v>
          </cell>
          <cell r="D13">
            <v>1156</v>
          </cell>
        </row>
        <row r="14">
          <cell r="A14" t="str">
            <v>Конденсатор 1 нФ 0603 50В</v>
          </cell>
          <cell r="B14">
            <v>1156</v>
          </cell>
          <cell r="C14">
            <v>0</v>
          </cell>
          <cell r="D14">
            <v>1156</v>
          </cell>
        </row>
        <row r="15">
          <cell r="A15" t="str">
            <v>Конденсатор 1 пФ 0603 50В</v>
          </cell>
          <cell r="B15">
            <v>1156</v>
          </cell>
          <cell r="C15">
            <v>69</v>
          </cell>
          <cell r="D15">
            <v>1156</v>
          </cell>
        </row>
        <row r="16">
          <cell r="A16" t="str">
            <v>Конденсатор 10 мкФ (Case А) 16В 10%</v>
          </cell>
          <cell r="B16">
            <v>578</v>
          </cell>
          <cell r="C16">
            <v>525</v>
          </cell>
          <cell r="D16">
            <v>578</v>
          </cell>
        </row>
        <row r="17">
          <cell r="A17" t="str">
            <v>Конденсатор 10 мкФ 1206 50В X7R 10%</v>
          </cell>
          <cell r="B17">
            <v>578</v>
          </cell>
          <cell r="C17">
            <v>126</v>
          </cell>
          <cell r="D17">
            <v>578</v>
          </cell>
        </row>
        <row r="18">
          <cell r="A18" t="str">
            <v>Конденсатор 10 нФ 0603 50В X7R 10%</v>
          </cell>
          <cell r="B18">
            <v>1156</v>
          </cell>
          <cell r="C18">
            <v>45</v>
          </cell>
          <cell r="D18">
            <v>1156</v>
          </cell>
        </row>
        <row r="19">
          <cell r="A19" t="str">
            <v>Конденсатор 10 пФ 0603 50В NP0</v>
          </cell>
          <cell r="B19">
            <v>2312</v>
          </cell>
          <cell r="C19">
            <v>0</v>
          </cell>
          <cell r="D19">
            <v>2312</v>
          </cell>
        </row>
        <row r="20">
          <cell r="A20" t="str">
            <v>Конденсатор 100 нФ 0603 50В X7R 10%</v>
          </cell>
          <cell r="B20">
            <v>14450</v>
          </cell>
          <cell r="C20">
            <v>0</v>
          </cell>
          <cell r="D20">
            <v>14450</v>
          </cell>
        </row>
        <row r="21">
          <cell r="A21" t="str">
            <v>Конденсатор 12 пФ 0603 50В NP0</v>
          </cell>
          <cell r="B21">
            <v>578</v>
          </cell>
          <cell r="C21">
            <v>110</v>
          </cell>
          <cell r="D21">
            <v>578</v>
          </cell>
        </row>
        <row r="22">
          <cell r="A22" t="str">
            <v>Конденсатор 15 нФ 0603 50В X7R 10%</v>
          </cell>
          <cell r="B22">
            <v>1156</v>
          </cell>
          <cell r="C22">
            <v>0</v>
          </cell>
          <cell r="D22">
            <v>1156</v>
          </cell>
        </row>
        <row r="23">
          <cell r="A23" t="str">
            <v>Конденсатор 15 пФ 0603 50В NP0 5%</v>
          </cell>
          <cell r="B23">
            <v>1156</v>
          </cell>
          <cell r="C23">
            <v>380</v>
          </cell>
          <cell r="D23">
            <v>1156</v>
          </cell>
        </row>
        <row r="24">
          <cell r="A24" t="str">
            <v>Конденсатор 16 пФ 0603 50В</v>
          </cell>
          <cell r="B24">
            <v>3468</v>
          </cell>
          <cell r="C24">
            <v>668</v>
          </cell>
          <cell r="D24">
            <v>3468</v>
          </cell>
        </row>
        <row r="25">
          <cell r="A25" t="str">
            <v>Конденсатор 18 пФ 0603 50В NP0</v>
          </cell>
          <cell r="B25">
            <v>1156</v>
          </cell>
          <cell r="C25">
            <v>1156</v>
          </cell>
          <cell r="D25" t="str">
            <v>проверить остатки в ячейках</v>
          </cell>
        </row>
        <row r="26">
          <cell r="A26" t="str">
            <v>Конденсатор 2,2 мкФ 0805 25В X7R</v>
          </cell>
          <cell r="B26">
            <v>3468</v>
          </cell>
          <cell r="C26">
            <v>400</v>
          </cell>
          <cell r="D26">
            <v>3468</v>
          </cell>
        </row>
        <row r="27">
          <cell r="A27" t="str">
            <v>Конденсатор 2,2 мкФ 0805 50В X7R</v>
          </cell>
          <cell r="B27">
            <v>2890</v>
          </cell>
          <cell r="C27">
            <v>0</v>
          </cell>
          <cell r="D27">
            <v>2890</v>
          </cell>
        </row>
        <row r="28">
          <cell r="A28" t="str">
            <v>Конденсатор 2,7 нФ 0603 50В NP0</v>
          </cell>
          <cell r="B28">
            <v>1156</v>
          </cell>
          <cell r="C28">
            <v>0</v>
          </cell>
          <cell r="D28">
            <v>1156</v>
          </cell>
        </row>
        <row r="29">
          <cell r="A29" t="str">
            <v>Конденсатор 22 нФ 0603 50В X7R 10%</v>
          </cell>
          <cell r="B29">
            <v>5780</v>
          </cell>
          <cell r="C29">
            <v>0</v>
          </cell>
          <cell r="D29">
            <v>5780</v>
          </cell>
        </row>
        <row r="30">
          <cell r="A30" t="str">
            <v>Конденсатор 22 пФ 0603 50В NP0 5%</v>
          </cell>
          <cell r="B30">
            <v>578</v>
          </cell>
          <cell r="C30">
            <v>160</v>
          </cell>
          <cell r="D30">
            <v>578</v>
          </cell>
        </row>
        <row r="31">
          <cell r="A31" t="str">
            <v>Конденсатор 220 нФ 0603 5% X7R 50В</v>
          </cell>
          <cell r="B31">
            <v>1734</v>
          </cell>
          <cell r="C31">
            <v>176</v>
          </cell>
          <cell r="D31">
            <v>1734</v>
          </cell>
        </row>
        <row r="32">
          <cell r="A32" t="str">
            <v>Конденсатор 220 пФ 0603 NP0 50В</v>
          </cell>
          <cell r="B32">
            <v>578</v>
          </cell>
          <cell r="C32">
            <v>0</v>
          </cell>
          <cell r="D32">
            <v>578</v>
          </cell>
        </row>
        <row r="33">
          <cell r="A33" t="str">
            <v>Конденсатор 33 пФ 0603 50В NP0 5%</v>
          </cell>
          <cell r="B33">
            <v>4624</v>
          </cell>
          <cell r="C33">
            <v>93</v>
          </cell>
          <cell r="D33">
            <v>4624</v>
          </cell>
        </row>
        <row r="34">
          <cell r="A34" t="str">
            <v>Конденсатор 4,3 пФ 0603 50В NP0</v>
          </cell>
          <cell r="B34">
            <v>578</v>
          </cell>
          <cell r="C34">
            <v>578</v>
          </cell>
          <cell r="D34" t="str">
            <v>проверить остатки в ячейках</v>
          </cell>
        </row>
        <row r="35">
          <cell r="A35" t="str">
            <v>Конденсатор 4,7 мкФ 0603 X7R</v>
          </cell>
          <cell r="B35">
            <v>578</v>
          </cell>
          <cell r="C35">
            <v>0</v>
          </cell>
          <cell r="D35">
            <v>578</v>
          </cell>
        </row>
        <row r="36">
          <cell r="A36" t="str">
            <v>Конденсатор 4,7 нФ 0603 50В X7R 5%</v>
          </cell>
          <cell r="B36">
            <v>1156</v>
          </cell>
          <cell r="C36">
            <v>400</v>
          </cell>
          <cell r="D36">
            <v>1156</v>
          </cell>
        </row>
        <row r="37">
          <cell r="A37" t="str">
            <v>Конденсатор 47 мкФ Case C (6032) 16В танталовый</v>
          </cell>
          <cell r="B37">
            <v>578</v>
          </cell>
          <cell r="C37">
            <v>20</v>
          </cell>
          <cell r="D37">
            <v>578</v>
          </cell>
        </row>
        <row r="38">
          <cell r="A38" t="str">
            <v>Конденсатор 470 пФ 1206 500В NP0</v>
          </cell>
          <cell r="B38">
            <v>1156</v>
          </cell>
          <cell r="C38">
            <v>424</v>
          </cell>
          <cell r="D38">
            <v>1156</v>
          </cell>
        </row>
        <row r="39">
          <cell r="A39" t="str">
            <v>Конденсатор 5,6 нФ 0805 50В</v>
          </cell>
          <cell r="B39">
            <v>1156</v>
          </cell>
          <cell r="C39">
            <v>0</v>
          </cell>
          <cell r="D39">
            <v>1156</v>
          </cell>
        </row>
        <row r="40">
          <cell r="A40" t="str">
            <v>Конденсатор 560 пФ 0805 50В NP0 5%</v>
          </cell>
          <cell r="B40">
            <v>578</v>
          </cell>
          <cell r="C40">
            <v>578</v>
          </cell>
          <cell r="D40" t="str">
            <v>проверить остатки в ячейках</v>
          </cell>
        </row>
        <row r="41">
          <cell r="A41" t="str">
            <v>Конденсатор 680 пФ 0603 50В NP0 5%</v>
          </cell>
          <cell r="B41">
            <v>578</v>
          </cell>
          <cell r="C41">
            <v>275</v>
          </cell>
          <cell r="D41">
            <v>578</v>
          </cell>
        </row>
        <row r="42">
          <cell r="A42" t="str">
            <v>Конденсатор 82 пФ 0603 50В NP0 5%</v>
          </cell>
          <cell r="B42">
            <v>1156</v>
          </cell>
          <cell r="C42">
            <v>83</v>
          </cell>
          <cell r="D42">
            <v>1156</v>
          </cell>
        </row>
        <row r="43">
          <cell r="A43" t="str">
            <v>Микросхема 24LC64T-I/OT</v>
          </cell>
          <cell r="B43">
            <v>578</v>
          </cell>
          <cell r="C43">
            <v>0</v>
          </cell>
          <cell r="D43">
            <v>578</v>
          </cell>
        </row>
        <row r="44">
          <cell r="A44" t="str">
            <v>Микросхема ADF7021BCPZ AD</v>
          </cell>
          <cell r="B44">
            <v>578</v>
          </cell>
          <cell r="C44">
            <v>0</v>
          </cell>
          <cell r="D44">
            <v>578</v>
          </cell>
        </row>
        <row r="45">
          <cell r="A45" t="str">
            <v>Микросхема AT86RF233</v>
          </cell>
          <cell r="B45">
            <v>578</v>
          </cell>
          <cell r="C45">
            <v>0</v>
          </cell>
          <cell r="D45">
            <v>578</v>
          </cell>
        </row>
        <row r="46">
          <cell r="A46" t="str">
            <v>Микросхема CC2591</v>
          </cell>
          <cell r="B46">
            <v>578</v>
          </cell>
          <cell r="C46">
            <v>0</v>
          </cell>
          <cell r="D46">
            <v>578</v>
          </cell>
        </row>
        <row r="47">
          <cell r="A47" t="str">
            <v>Микросхема LSM303DLHC</v>
          </cell>
          <cell r="B47">
            <v>578</v>
          </cell>
          <cell r="C47">
            <v>0</v>
          </cell>
          <cell r="D47">
            <v>578</v>
          </cell>
        </row>
        <row r="48">
          <cell r="A48" t="str">
            <v>Микросхема MCP1703-3302E/DB</v>
          </cell>
          <cell r="B48">
            <v>578</v>
          </cell>
          <cell r="C48">
            <v>0</v>
          </cell>
          <cell r="D48">
            <v>578</v>
          </cell>
        </row>
        <row r="49">
          <cell r="A49" t="str">
            <v>Микросхема OPA376AIDBVT</v>
          </cell>
          <cell r="B49">
            <v>1156</v>
          </cell>
          <cell r="C49">
            <v>25</v>
          </cell>
          <cell r="D49">
            <v>1156</v>
          </cell>
        </row>
        <row r="50">
          <cell r="A50" t="str">
            <v>Микросхема SN74AHC1G125DCK</v>
          </cell>
          <cell r="B50">
            <v>578</v>
          </cell>
          <cell r="C50">
            <v>0</v>
          </cell>
          <cell r="D50">
            <v>578</v>
          </cell>
        </row>
        <row r="51">
          <cell r="A51" t="str">
            <v>Микросхема STM32L151C8U6</v>
          </cell>
          <cell r="B51">
            <v>1156</v>
          </cell>
          <cell r="C51">
            <v>194</v>
          </cell>
          <cell r="D51">
            <v>1156</v>
          </cell>
        </row>
        <row r="52">
          <cell r="A52" t="str">
            <v>Микросхема STM32L476RCT6</v>
          </cell>
          <cell r="B52">
            <v>578</v>
          </cell>
          <cell r="C52">
            <v>0</v>
          </cell>
          <cell r="D52">
            <v>578</v>
          </cell>
        </row>
        <row r="53">
          <cell r="A53" t="str">
            <v>Микросхема TLV320ADC3101IRGE</v>
          </cell>
          <cell r="B53">
            <v>1156</v>
          </cell>
          <cell r="C53">
            <v>25</v>
          </cell>
          <cell r="D53">
            <v>1156</v>
          </cell>
        </row>
        <row r="54">
          <cell r="A54" t="str">
            <v>Микросхема TPS71518DCKR</v>
          </cell>
          <cell r="B54">
            <v>578</v>
          </cell>
          <cell r="C54">
            <v>22</v>
          </cell>
          <cell r="D54">
            <v>578</v>
          </cell>
        </row>
        <row r="55">
          <cell r="A55" t="str">
            <v>Микросхема TPS71530DCKR</v>
          </cell>
          <cell r="B55">
            <v>1156</v>
          </cell>
          <cell r="C55">
            <v>20</v>
          </cell>
          <cell r="D55">
            <v>1156</v>
          </cell>
        </row>
        <row r="56">
          <cell r="A56" t="str">
            <v>Микросхема TPS76318DBV</v>
          </cell>
          <cell r="B56">
            <v>578</v>
          </cell>
          <cell r="C56">
            <v>5</v>
          </cell>
          <cell r="D56">
            <v>578</v>
          </cell>
        </row>
        <row r="57">
          <cell r="A57" t="str">
            <v>Печатная плата MA-32-7</v>
          </cell>
          <cell r="B57">
            <v>550</v>
          </cell>
          <cell r="C57">
            <v>0</v>
          </cell>
          <cell r="D57">
            <v>550</v>
          </cell>
        </row>
        <row r="58">
          <cell r="A58" t="str">
            <v>Печатная плата MAUP_41 v1.4</v>
          </cell>
          <cell r="B58">
            <v>550</v>
          </cell>
          <cell r="C58">
            <v>0</v>
          </cell>
          <cell r="D58">
            <v>550</v>
          </cell>
        </row>
        <row r="59">
          <cell r="A59" t="str">
            <v>Печатная плата МА-32</v>
          </cell>
          <cell r="B59">
            <v>550</v>
          </cell>
          <cell r="C59">
            <v>0</v>
          </cell>
          <cell r="D59">
            <v>550</v>
          </cell>
        </row>
        <row r="60">
          <cell r="A60" t="str">
            <v>Резистор 1 кОм 0603 5%</v>
          </cell>
          <cell r="B60">
            <v>5202</v>
          </cell>
          <cell r="C60">
            <v>578</v>
          </cell>
          <cell r="D60">
            <v>5202</v>
          </cell>
        </row>
        <row r="61">
          <cell r="A61" t="str">
            <v>Резистор 1 МОм 0603, 5%</v>
          </cell>
          <cell r="B61">
            <v>1156</v>
          </cell>
          <cell r="C61">
            <v>578</v>
          </cell>
          <cell r="D61">
            <v>1156</v>
          </cell>
        </row>
        <row r="62">
          <cell r="A62" t="str">
            <v>Резистор 1,1 кОм 0603 5%</v>
          </cell>
          <cell r="B62">
            <v>1156</v>
          </cell>
          <cell r="C62">
            <v>1156</v>
          </cell>
          <cell r="D62" t="str">
            <v>проверить остатки в ячейках</v>
          </cell>
        </row>
        <row r="63">
          <cell r="A63" t="str">
            <v>Резистор 10 кОм 0603 1%</v>
          </cell>
          <cell r="B63">
            <v>4046</v>
          </cell>
          <cell r="C63">
            <v>511</v>
          </cell>
          <cell r="D63">
            <v>4046</v>
          </cell>
        </row>
        <row r="64">
          <cell r="A64" t="str">
            <v>Резистор 10 кОм 0603 5%</v>
          </cell>
          <cell r="B64">
            <v>4046</v>
          </cell>
          <cell r="C64">
            <v>0</v>
          </cell>
          <cell r="D64">
            <v>4046</v>
          </cell>
        </row>
        <row r="65">
          <cell r="A65" t="str">
            <v>Резистор 10 МОм 0603 5%</v>
          </cell>
          <cell r="B65">
            <v>1156</v>
          </cell>
          <cell r="C65">
            <v>578</v>
          </cell>
          <cell r="D65">
            <v>1156</v>
          </cell>
        </row>
        <row r="66">
          <cell r="A66" t="str">
            <v>Резистор 100 кОм 0603 5%</v>
          </cell>
          <cell r="B66">
            <v>3468</v>
          </cell>
          <cell r="C66">
            <v>1156</v>
          </cell>
          <cell r="D66">
            <v>3468</v>
          </cell>
        </row>
        <row r="67">
          <cell r="A67" t="str">
            <v>Резистор 100 Ом 0603 5%</v>
          </cell>
          <cell r="B67">
            <v>1734</v>
          </cell>
          <cell r="C67">
            <v>578</v>
          </cell>
          <cell r="D67">
            <v>1734</v>
          </cell>
        </row>
        <row r="68">
          <cell r="A68" t="str">
            <v>Резистор 100 Ом 2512 5%</v>
          </cell>
          <cell r="B68">
            <v>1734</v>
          </cell>
          <cell r="C68">
            <v>0</v>
          </cell>
          <cell r="D68">
            <v>1734</v>
          </cell>
        </row>
        <row r="69">
          <cell r="A69" t="str">
            <v>Резистор 2 кОм 0603 5%</v>
          </cell>
          <cell r="B69">
            <v>1156</v>
          </cell>
          <cell r="C69">
            <v>578</v>
          </cell>
          <cell r="D69">
            <v>1156</v>
          </cell>
        </row>
        <row r="70">
          <cell r="A70" t="str">
            <v>Резистор 200 Ом 0603 5%</v>
          </cell>
          <cell r="B70">
            <v>1156</v>
          </cell>
          <cell r="C70">
            <v>578</v>
          </cell>
          <cell r="D70">
            <v>1156</v>
          </cell>
        </row>
        <row r="71">
          <cell r="A71" t="str">
            <v>Резистор 22 кОм 0603 5%</v>
          </cell>
          <cell r="B71">
            <v>6358</v>
          </cell>
          <cell r="C71">
            <v>0</v>
          </cell>
          <cell r="D71">
            <v>6358</v>
          </cell>
        </row>
        <row r="72">
          <cell r="A72" t="str">
            <v>Резистор 3,6 кОм 0603 5%</v>
          </cell>
          <cell r="B72">
            <v>578</v>
          </cell>
          <cell r="C72">
            <v>578</v>
          </cell>
          <cell r="D72" t="str">
            <v>проверить остатки в ячейках</v>
          </cell>
        </row>
        <row r="73">
          <cell r="A73" t="str">
            <v>Резистор 3,9 Ом 0603 1%</v>
          </cell>
          <cell r="B73">
            <v>578</v>
          </cell>
          <cell r="C73">
            <v>578</v>
          </cell>
          <cell r="D73" t="str">
            <v>проверить остатки в ячейках</v>
          </cell>
        </row>
        <row r="74">
          <cell r="A74" t="str">
            <v>Резистор 30 Ом 0603 5%</v>
          </cell>
          <cell r="B74">
            <v>578</v>
          </cell>
          <cell r="C74">
            <v>578</v>
          </cell>
          <cell r="D74" t="str">
            <v>проверить остатки в ячейках</v>
          </cell>
        </row>
        <row r="75">
          <cell r="A75" t="str">
            <v>Резистор 4,3 кОм 0603 5%</v>
          </cell>
          <cell r="B75">
            <v>578</v>
          </cell>
          <cell r="C75">
            <v>0</v>
          </cell>
          <cell r="D75">
            <v>578</v>
          </cell>
        </row>
        <row r="76">
          <cell r="A76" t="str">
            <v>Резистор 47 кОм 0603 5%</v>
          </cell>
          <cell r="B76">
            <v>578</v>
          </cell>
          <cell r="C76">
            <v>578</v>
          </cell>
          <cell r="D76" t="str">
            <v>проверить остатки в ячейках</v>
          </cell>
        </row>
        <row r="77">
          <cell r="A77" t="str">
            <v>Резистор 470 Ом 0603 5%</v>
          </cell>
          <cell r="B77">
            <v>1156</v>
          </cell>
          <cell r="C77">
            <v>0</v>
          </cell>
          <cell r="D77">
            <v>1156</v>
          </cell>
        </row>
        <row r="78">
          <cell r="A78" t="str">
            <v>Резистор 620 Ом 0603 5%</v>
          </cell>
          <cell r="B78">
            <v>578</v>
          </cell>
          <cell r="C78">
            <v>578</v>
          </cell>
          <cell r="D78" t="str">
            <v>проверить остатки в ячейках</v>
          </cell>
        </row>
        <row r="79">
          <cell r="A79" t="str">
            <v>Светодиод KP-1608CGCK (зелёный)</v>
          </cell>
          <cell r="B79">
            <v>578</v>
          </cell>
          <cell r="C79">
            <v>0</v>
          </cell>
          <cell r="D79">
            <v>578</v>
          </cell>
        </row>
        <row r="80">
          <cell r="A80" t="str">
            <v>Транзистор BC848B SOT23</v>
          </cell>
          <cell r="B80">
            <v>578</v>
          </cell>
          <cell r="C80">
            <v>0</v>
          </cell>
          <cell r="D80">
            <v>578</v>
          </cell>
        </row>
        <row r="81">
          <cell r="A81" t="str">
            <v>Транзистор BC857B</v>
          </cell>
          <cell r="B81">
            <v>578</v>
          </cell>
          <cell r="C81">
            <v>578</v>
          </cell>
          <cell r="D81" t="str">
            <v>проверить остатки в ячейках</v>
          </cell>
        </row>
        <row r="82">
          <cell r="A82" t="str">
            <v>Транзистор IRF5806</v>
          </cell>
          <cell r="B82">
            <v>1156</v>
          </cell>
          <cell r="C82">
            <v>5</v>
          </cell>
          <cell r="D82">
            <v>1156</v>
          </cell>
        </row>
        <row r="83">
          <cell r="A83" t="str">
            <v>Транзистор IRLML2030TRPBF</v>
          </cell>
          <cell r="B83">
            <v>2312</v>
          </cell>
          <cell r="C83">
            <v>88</v>
          </cell>
          <cell r="D83">
            <v>2312</v>
          </cell>
        </row>
        <row r="84">
          <cell r="A84" t="str">
            <v>Транзистор IRLML2502TRPBF</v>
          </cell>
          <cell r="B84">
            <v>1734</v>
          </cell>
          <cell r="C84">
            <v>20</v>
          </cell>
          <cell r="D84">
            <v>1734</v>
          </cell>
        </row>
        <row r="85">
          <cell r="A85" t="str">
            <v>Транзистор IRLML6402TRPBF</v>
          </cell>
          <cell r="B85">
            <v>1734</v>
          </cell>
          <cell r="C85">
            <v>1572</v>
          </cell>
          <cell r="D85">
            <v>1734</v>
          </cell>
        </row>
        <row r="86">
          <cell r="A86" t="str">
            <v>(пусто)</v>
          </cell>
          <cell r="C86">
            <v>0</v>
          </cell>
        </row>
        <row r="87">
          <cell r="A87" t="str">
            <v>Общий итог</v>
          </cell>
          <cell r="B87">
            <v>130628</v>
          </cell>
          <cell r="C87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87"/>
  <sheetViews>
    <sheetView tabSelected="1" topLeftCell="A49" workbookViewId="0">
      <selection activeCell="C57" sqref="C57"/>
    </sheetView>
  </sheetViews>
  <sheetFormatPr defaultRowHeight="15" x14ac:dyDescent="0.25"/>
  <cols>
    <col min="1" max="1" width="11.875" bestFit="1" customWidth="1"/>
    <col min="2" max="2" width="15.125" customWidth="1"/>
    <col min="3" max="3" width="57.875" customWidth="1"/>
    <col min="4" max="4" width="21.375" bestFit="1" customWidth="1"/>
    <col min="5" max="5" width="10.125" bestFit="1" customWidth="1"/>
    <col min="6" max="6" width="10.125" customWidth="1"/>
    <col min="7" max="7" width="33" customWidth="1"/>
    <col min="8" max="8" width="50.625" bestFit="1" customWidth="1"/>
  </cols>
  <sheetData>
    <row r="1" spans="1:7" s="1" customFormat="1" x14ac:dyDescent="0.25">
      <c r="A1" s="1" t="s">
        <v>0</v>
      </c>
      <c r="B1" s="1" t="s">
        <v>4</v>
      </c>
      <c r="C1" s="1" t="s">
        <v>1</v>
      </c>
      <c r="D1" s="1" t="s">
        <v>2</v>
      </c>
      <c r="E1" s="1" t="s">
        <v>3</v>
      </c>
      <c r="G1" s="1" t="s">
        <v>5</v>
      </c>
    </row>
    <row r="2" spans="1:7" x14ac:dyDescent="0.25">
      <c r="A2" t="s">
        <v>15</v>
      </c>
      <c r="B2" t="s">
        <v>16</v>
      </c>
      <c r="C2" t="s">
        <v>14</v>
      </c>
      <c r="D2" t="s">
        <v>10</v>
      </c>
      <c r="E2">
        <v>578</v>
      </c>
      <c r="F2">
        <f>VLOOKUP(C2,[1]Лист1!$A:$D,4,0)</f>
        <v>578</v>
      </c>
      <c r="G2" t="s">
        <v>17</v>
      </c>
    </row>
    <row r="3" spans="1:7" x14ac:dyDescent="0.25">
      <c r="A3" t="s">
        <v>9</v>
      </c>
      <c r="B3" t="s">
        <v>12</v>
      </c>
      <c r="C3" t="s">
        <v>6</v>
      </c>
      <c r="D3" t="s">
        <v>10</v>
      </c>
      <c r="E3">
        <v>2312</v>
      </c>
      <c r="F3">
        <f>VLOOKUP(C3,[1]Лист1!$A:$D,4,0)</f>
        <v>2312</v>
      </c>
      <c r="G3" t="s">
        <v>18</v>
      </c>
    </row>
    <row r="4" spans="1:7" x14ac:dyDescent="0.25">
      <c r="A4" t="s">
        <v>20</v>
      </c>
      <c r="B4" t="s">
        <v>21</v>
      </c>
      <c r="C4" t="s">
        <v>19</v>
      </c>
      <c r="D4" t="s">
        <v>10</v>
      </c>
      <c r="E4">
        <v>578</v>
      </c>
      <c r="F4">
        <f>VLOOKUP(C4,[1]Лист1!$A:$D,4,0)</f>
        <v>578</v>
      </c>
      <c r="G4" t="s">
        <v>22</v>
      </c>
    </row>
    <row r="5" spans="1:7" x14ac:dyDescent="0.25">
      <c r="A5" t="s">
        <v>24</v>
      </c>
      <c r="B5" t="s">
        <v>25</v>
      </c>
      <c r="C5" t="s">
        <v>23</v>
      </c>
      <c r="D5" t="s">
        <v>10</v>
      </c>
      <c r="E5">
        <v>578</v>
      </c>
      <c r="F5">
        <f>VLOOKUP(C5,[1]Лист1!$A:$D,4,0)</f>
        <v>578</v>
      </c>
      <c r="G5" t="s">
        <v>22</v>
      </c>
    </row>
    <row r="6" spans="1:7" x14ac:dyDescent="0.25">
      <c r="A6" t="s">
        <v>27</v>
      </c>
      <c r="B6" t="s">
        <v>28</v>
      </c>
      <c r="C6" t="s">
        <v>26</v>
      </c>
      <c r="D6" t="s">
        <v>10</v>
      </c>
      <c r="E6">
        <v>578</v>
      </c>
      <c r="F6">
        <f>VLOOKUP(C6,[1]Лист1!$A:$D,4,0)</f>
        <v>578</v>
      </c>
      <c r="G6" t="s">
        <v>22</v>
      </c>
    </row>
    <row r="7" spans="1:7" x14ac:dyDescent="0.25">
      <c r="A7" t="s">
        <v>30</v>
      </c>
      <c r="B7" t="s">
        <v>31</v>
      </c>
      <c r="C7" t="s">
        <v>29</v>
      </c>
      <c r="D7" t="s">
        <v>10</v>
      </c>
      <c r="E7">
        <v>578</v>
      </c>
      <c r="F7">
        <f>VLOOKUP(C7,[1]Лист1!$A:$D,4,0)</f>
        <v>578</v>
      </c>
      <c r="G7" t="s">
        <v>22</v>
      </c>
    </row>
    <row r="8" spans="1:7" x14ac:dyDescent="0.25">
      <c r="A8" t="s">
        <v>33</v>
      </c>
      <c r="C8" t="s">
        <v>32</v>
      </c>
      <c r="D8" t="s">
        <v>10</v>
      </c>
      <c r="E8">
        <v>578</v>
      </c>
      <c r="F8">
        <f>VLOOKUP(C8,[1]Лист1!$A:$D,4,0)</f>
        <v>578</v>
      </c>
      <c r="G8" t="s">
        <v>22</v>
      </c>
    </row>
    <row r="9" spans="1:7" x14ac:dyDescent="0.25">
      <c r="A9" t="s">
        <v>35</v>
      </c>
      <c r="B9" t="s">
        <v>36</v>
      </c>
      <c r="C9" t="s">
        <v>34</v>
      </c>
      <c r="D9" t="s">
        <v>10</v>
      </c>
      <c r="E9">
        <v>1156</v>
      </c>
      <c r="F9">
        <f>VLOOKUP(C9,[1]Лист1!$A:$D,4,0)</f>
        <v>1156</v>
      </c>
      <c r="G9" t="s">
        <v>22</v>
      </c>
    </row>
    <row r="10" spans="1:7" x14ac:dyDescent="0.25">
      <c r="A10" t="s">
        <v>38</v>
      </c>
      <c r="B10" t="s">
        <v>39</v>
      </c>
      <c r="C10" t="s">
        <v>37</v>
      </c>
      <c r="D10" t="s">
        <v>10</v>
      </c>
      <c r="E10">
        <v>578</v>
      </c>
      <c r="F10" t="e">
        <f>VLOOKUP(C10,[1]Лист1!$A:$D,4,0)</f>
        <v>#N/A</v>
      </c>
      <c r="G10" t="s">
        <v>18</v>
      </c>
    </row>
    <row r="11" spans="1:7" x14ac:dyDescent="0.25">
      <c r="A11" t="s">
        <v>38</v>
      </c>
      <c r="B11" t="s">
        <v>39</v>
      </c>
      <c r="C11" t="s">
        <v>37</v>
      </c>
      <c r="D11" t="s">
        <v>10</v>
      </c>
      <c r="E11">
        <v>578</v>
      </c>
      <c r="F11" t="e">
        <f>VLOOKUP(C11,[1]Лист1!$A:$D,4,0)</f>
        <v>#N/A</v>
      </c>
      <c r="G11" t="s">
        <v>17</v>
      </c>
    </row>
    <row r="12" spans="1:7" x14ac:dyDescent="0.25">
      <c r="A12" t="s">
        <v>38</v>
      </c>
      <c r="B12" t="s">
        <v>39</v>
      </c>
      <c r="C12" t="s">
        <v>37</v>
      </c>
      <c r="D12" t="s">
        <v>10</v>
      </c>
      <c r="E12">
        <v>1734</v>
      </c>
      <c r="F12" t="e">
        <f>VLOOKUP(C12,[1]Лист1!$A:$D,4,0)</f>
        <v>#N/A</v>
      </c>
      <c r="G12" t="s">
        <v>22</v>
      </c>
    </row>
    <row r="13" spans="1:7" x14ac:dyDescent="0.25">
      <c r="A13" t="s">
        <v>41</v>
      </c>
      <c r="B13" t="s">
        <v>42</v>
      </c>
      <c r="C13" t="s">
        <v>40</v>
      </c>
      <c r="D13" t="s">
        <v>10</v>
      </c>
      <c r="E13">
        <v>2890</v>
      </c>
      <c r="F13">
        <f>VLOOKUP(C13,[1]Лист1!$A:$D,4,0)</f>
        <v>2890</v>
      </c>
      <c r="G13" t="s">
        <v>18</v>
      </c>
    </row>
    <row r="14" spans="1:7" x14ac:dyDescent="0.25">
      <c r="A14" t="s">
        <v>44</v>
      </c>
      <c r="B14" t="s">
        <v>45</v>
      </c>
      <c r="C14" t="s">
        <v>43</v>
      </c>
      <c r="D14" t="s">
        <v>10</v>
      </c>
      <c r="E14">
        <v>1734</v>
      </c>
      <c r="F14">
        <f>VLOOKUP(C14,[1]Лист1!$A:$D,4,0)</f>
        <v>1734</v>
      </c>
      <c r="G14" t="s">
        <v>22</v>
      </c>
    </row>
    <row r="15" spans="1:7" x14ac:dyDescent="0.25">
      <c r="A15" t="s">
        <v>11</v>
      </c>
      <c r="B15" t="s">
        <v>13</v>
      </c>
      <c r="C15" t="s">
        <v>7</v>
      </c>
      <c r="D15" t="s">
        <v>10</v>
      </c>
      <c r="E15">
        <v>1156</v>
      </c>
      <c r="F15">
        <f>VLOOKUP(C15,[1]Лист1!$A:$D,4,0)</f>
        <v>1156</v>
      </c>
      <c r="G15" t="s">
        <v>18</v>
      </c>
    </row>
    <row r="16" spans="1:7" x14ac:dyDescent="0.25">
      <c r="A16" t="s">
        <v>47</v>
      </c>
      <c r="B16" t="s">
        <v>48</v>
      </c>
      <c r="C16" t="s">
        <v>46</v>
      </c>
      <c r="D16" t="s">
        <v>10</v>
      </c>
      <c r="E16">
        <v>1156</v>
      </c>
      <c r="F16">
        <f>VLOOKUP(C16,[1]Лист1!$A:$D,4,0)</f>
        <v>1156</v>
      </c>
      <c r="G16" t="s">
        <v>22</v>
      </c>
    </row>
    <row r="17" spans="1:7" x14ac:dyDescent="0.25">
      <c r="A17" t="s">
        <v>50</v>
      </c>
      <c r="B17" t="s">
        <v>51</v>
      </c>
      <c r="C17" t="s">
        <v>49</v>
      </c>
      <c r="D17" t="s">
        <v>10</v>
      </c>
      <c r="E17">
        <v>1156</v>
      </c>
      <c r="F17">
        <f>VLOOKUP(C17,[1]Лист1!$A:$D,4,0)</f>
        <v>1156</v>
      </c>
      <c r="G17" t="s">
        <v>22</v>
      </c>
    </row>
    <row r="18" spans="1:7" x14ac:dyDescent="0.25">
      <c r="A18" t="s">
        <v>53</v>
      </c>
      <c r="C18" t="s">
        <v>52</v>
      </c>
      <c r="D18" t="s">
        <v>10</v>
      </c>
      <c r="E18">
        <v>578</v>
      </c>
      <c r="F18">
        <f>VLOOKUP(C18,[1]Лист1!$A:$D,4,0)</f>
        <v>578</v>
      </c>
      <c r="G18" t="s">
        <v>18</v>
      </c>
    </row>
    <row r="19" spans="1:7" x14ac:dyDescent="0.25">
      <c r="A19" t="s">
        <v>55</v>
      </c>
      <c r="B19" t="s">
        <v>56</v>
      </c>
      <c r="C19" t="s">
        <v>54</v>
      </c>
      <c r="D19" t="s">
        <v>10</v>
      </c>
      <c r="E19">
        <v>578</v>
      </c>
      <c r="F19">
        <f>VLOOKUP(C19,[1]Лист1!$A:$D,4,0)</f>
        <v>578</v>
      </c>
      <c r="G19" t="s">
        <v>18</v>
      </c>
    </row>
    <row r="20" spans="1:7" x14ac:dyDescent="0.25">
      <c r="A20" t="s">
        <v>58</v>
      </c>
      <c r="B20" t="s">
        <v>59</v>
      </c>
      <c r="C20" t="s">
        <v>57</v>
      </c>
      <c r="D20" t="s">
        <v>10</v>
      </c>
      <c r="E20">
        <v>1156</v>
      </c>
      <c r="F20">
        <f>VLOOKUP(C20,[1]Лист1!$A:$D,4,0)</f>
        <v>1156</v>
      </c>
      <c r="G20" t="s">
        <v>18</v>
      </c>
    </row>
    <row r="21" spans="1:7" x14ac:dyDescent="0.25">
      <c r="A21" t="s">
        <v>61</v>
      </c>
      <c r="B21" t="s">
        <v>62</v>
      </c>
      <c r="C21" t="s">
        <v>60</v>
      </c>
      <c r="D21" t="s">
        <v>10</v>
      </c>
      <c r="E21">
        <v>2312</v>
      </c>
      <c r="F21">
        <f>VLOOKUP(C21,[1]Лист1!$A:$D,4,0)</f>
        <v>2312</v>
      </c>
      <c r="G21" t="s">
        <v>22</v>
      </c>
    </row>
    <row r="22" spans="1:7" x14ac:dyDescent="0.25">
      <c r="A22" t="s">
        <v>64</v>
      </c>
      <c r="B22" t="s">
        <v>65</v>
      </c>
      <c r="C22" t="s">
        <v>63</v>
      </c>
      <c r="D22" t="s">
        <v>10</v>
      </c>
      <c r="E22">
        <v>14450</v>
      </c>
      <c r="F22">
        <f>VLOOKUP(C22,[1]Лист1!$A:$D,4,0)</f>
        <v>14450</v>
      </c>
      <c r="G22" t="s">
        <v>18</v>
      </c>
    </row>
    <row r="23" spans="1:7" x14ac:dyDescent="0.25">
      <c r="A23" t="s">
        <v>67</v>
      </c>
      <c r="C23" t="s">
        <v>66</v>
      </c>
      <c r="D23" t="s">
        <v>10</v>
      </c>
      <c r="E23">
        <v>578</v>
      </c>
      <c r="F23">
        <f>VLOOKUP(C23,[1]Лист1!$A:$D,4,0)</f>
        <v>578</v>
      </c>
      <c r="G23" t="s">
        <v>22</v>
      </c>
    </row>
    <row r="24" spans="1:7" x14ac:dyDescent="0.25">
      <c r="A24" t="s">
        <v>69</v>
      </c>
      <c r="B24" t="s">
        <v>70</v>
      </c>
      <c r="C24" t="s">
        <v>68</v>
      </c>
      <c r="D24" t="s">
        <v>10</v>
      </c>
      <c r="E24">
        <v>1156</v>
      </c>
      <c r="F24">
        <f>VLOOKUP(C24,[1]Лист1!$A:$D,4,0)</f>
        <v>1156</v>
      </c>
      <c r="G24" t="s">
        <v>22</v>
      </c>
    </row>
    <row r="25" spans="1:7" x14ac:dyDescent="0.25">
      <c r="A25" t="s">
        <v>72</v>
      </c>
      <c r="B25" t="s">
        <v>73</v>
      </c>
      <c r="C25" t="s">
        <v>71</v>
      </c>
      <c r="D25" t="s">
        <v>10</v>
      </c>
      <c r="E25">
        <v>1156</v>
      </c>
      <c r="F25">
        <f>VLOOKUP(C25,[1]Лист1!$A:$D,4,0)</f>
        <v>1156</v>
      </c>
      <c r="G25" t="s">
        <v>18</v>
      </c>
    </row>
    <row r="26" spans="1:7" x14ac:dyDescent="0.25">
      <c r="A26" t="s">
        <v>75</v>
      </c>
      <c r="B26" t="s">
        <v>76</v>
      </c>
      <c r="C26" t="s">
        <v>74</v>
      </c>
      <c r="D26" t="s">
        <v>10</v>
      </c>
      <c r="E26">
        <v>3468</v>
      </c>
      <c r="F26">
        <f>VLOOKUP(C26,[1]Лист1!$A:$D,4,0)</f>
        <v>3468</v>
      </c>
      <c r="G26" t="s">
        <v>22</v>
      </c>
    </row>
    <row r="27" spans="1:7" x14ac:dyDescent="0.25">
      <c r="A27" t="s">
        <v>78</v>
      </c>
      <c r="B27" t="s">
        <v>79</v>
      </c>
      <c r="C27" t="s">
        <v>77</v>
      </c>
      <c r="D27" t="s">
        <v>8</v>
      </c>
      <c r="E27">
        <v>1156</v>
      </c>
      <c r="F27" t="str">
        <f>VLOOKUP(C27,[1]Лист1!$A:$D,4,0)</f>
        <v>проверить остатки в ячейках</v>
      </c>
      <c r="G27" t="s">
        <v>17</v>
      </c>
    </row>
    <row r="28" spans="1:7" x14ac:dyDescent="0.25">
      <c r="A28" t="s">
        <v>81</v>
      </c>
      <c r="B28" t="s">
        <v>82</v>
      </c>
      <c r="C28" t="s">
        <v>80</v>
      </c>
      <c r="D28" t="s">
        <v>10</v>
      </c>
      <c r="E28">
        <v>3468</v>
      </c>
      <c r="F28">
        <f>VLOOKUP(C28,[1]Лист1!$A:$D,4,0)</f>
        <v>3468</v>
      </c>
      <c r="G28" t="s">
        <v>18</v>
      </c>
    </row>
    <row r="29" spans="1:7" x14ac:dyDescent="0.25">
      <c r="A29" t="s">
        <v>84</v>
      </c>
      <c r="C29" t="s">
        <v>83</v>
      </c>
      <c r="D29" t="s">
        <v>10</v>
      </c>
      <c r="E29">
        <v>2890</v>
      </c>
      <c r="F29">
        <f>VLOOKUP(C29,[1]Лист1!$A:$D,4,0)</f>
        <v>2890</v>
      </c>
      <c r="G29" t="s">
        <v>22</v>
      </c>
    </row>
    <row r="30" spans="1:7" x14ac:dyDescent="0.25">
      <c r="A30" t="s">
        <v>86</v>
      </c>
      <c r="B30" t="s">
        <v>87</v>
      </c>
      <c r="C30" t="s">
        <v>85</v>
      </c>
      <c r="D30" t="s">
        <v>10</v>
      </c>
      <c r="E30">
        <v>1156</v>
      </c>
      <c r="F30">
        <f>VLOOKUP(C30,[1]Лист1!$A:$D,4,0)</f>
        <v>1156</v>
      </c>
      <c r="G30" t="s">
        <v>22</v>
      </c>
    </row>
    <row r="31" spans="1:7" x14ac:dyDescent="0.25">
      <c r="A31" t="s">
        <v>89</v>
      </c>
      <c r="B31" t="s">
        <v>90</v>
      </c>
      <c r="C31" t="s">
        <v>88</v>
      </c>
      <c r="D31" t="s">
        <v>10</v>
      </c>
      <c r="E31">
        <v>5780</v>
      </c>
      <c r="F31">
        <f>VLOOKUP(C31,[1]Лист1!$A:$D,4,0)</f>
        <v>5780</v>
      </c>
      <c r="G31" t="s">
        <v>18</v>
      </c>
    </row>
    <row r="32" spans="1:7" x14ac:dyDescent="0.25">
      <c r="A32" t="s">
        <v>92</v>
      </c>
      <c r="B32" t="s">
        <v>93</v>
      </c>
      <c r="C32" t="s">
        <v>91</v>
      </c>
      <c r="D32" t="s">
        <v>10</v>
      </c>
      <c r="E32">
        <v>578</v>
      </c>
      <c r="F32">
        <f>VLOOKUP(C32,[1]Лист1!$A:$D,4,0)</f>
        <v>578</v>
      </c>
      <c r="G32" t="s">
        <v>22</v>
      </c>
    </row>
    <row r="33" spans="1:7" x14ac:dyDescent="0.25">
      <c r="A33" t="s">
        <v>95</v>
      </c>
      <c r="B33" t="s">
        <v>96</v>
      </c>
      <c r="C33" t="s">
        <v>94</v>
      </c>
      <c r="D33" t="s">
        <v>10</v>
      </c>
      <c r="E33">
        <v>1734</v>
      </c>
      <c r="F33">
        <f>VLOOKUP(C33,[1]Лист1!$A:$D,4,0)</f>
        <v>1734</v>
      </c>
      <c r="G33" t="s">
        <v>18</v>
      </c>
    </row>
    <row r="34" spans="1:7" x14ac:dyDescent="0.25">
      <c r="A34" t="s">
        <v>98</v>
      </c>
      <c r="B34" t="s">
        <v>99</v>
      </c>
      <c r="C34" t="s">
        <v>97</v>
      </c>
      <c r="D34" t="s">
        <v>10</v>
      </c>
      <c r="E34">
        <v>578</v>
      </c>
      <c r="F34">
        <f>VLOOKUP(C34,[1]Лист1!$A:$D,4,0)</f>
        <v>578</v>
      </c>
      <c r="G34" t="s">
        <v>22</v>
      </c>
    </row>
    <row r="35" spans="1:7" x14ac:dyDescent="0.25">
      <c r="A35" t="s">
        <v>101</v>
      </c>
      <c r="B35" t="s">
        <v>102</v>
      </c>
      <c r="C35" t="s">
        <v>100</v>
      </c>
      <c r="D35" t="s">
        <v>10</v>
      </c>
      <c r="E35">
        <v>4624</v>
      </c>
      <c r="F35">
        <f>VLOOKUP(C35,[1]Лист1!$A:$D,4,0)</f>
        <v>4624</v>
      </c>
      <c r="G35" t="s">
        <v>18</v>
      </c>
    </row>
    <row r="36" spans="1:7" x14ac:dyDescent="0.25">
      <c r="A36" t="s">
        <v>104</v>
      </c>
      <c r="B36" t="s">
        <v>105</v>
      </c>
      <c r="C36" t="s">
        <v>103</v>
      </c>
      <c r="D36" t="s">
        <v>8</v>
      </c>
      <c r="E36">
        <v>578</v>
      </c>
      <c r="F36" t="str">
        <f>VLOOKUP(C36,[1]Лист1!$A:$D,4,0)</f>
        <v>проверить остатки в ячейках</v>
      </c>
      <c r="G36" t="s">
        <v>22</v>
      </c>
    </row>
    <row r="37" spans="1:7" x14ac:dyDescent="0.25">
      <c r="A37" t="s">
        <v>107</v>
      </c>
      <c r="C37" t="s">
        <v>106</v>
      </c>
      <c r="D37" t="s">
        <v>10</v>
      </c>
      <c r="E37">
        <v>578</v>
      </c>
      <c r="F37">
        <f>VLOOKUP(C37,[1]Лист1!$A:$D,4,0)</f>
        <v>578</v>
      </c>
      <c r="G37" t="s">
        <v>22</v>
      </c>
    </row>
    <row r="38" spans="1:7" x14ac:dyDescent="0.25">
      <c r="A38" t="s">
        <v>109</v>
      </c>
      <c r="B38" t="s">
        <v>110</v>
      </c>
      <c r="C38" t="s">
        <v>108</v>
      </c>
      <c r="D38" t="s">
        <v>10</v>
      </c>
      <c r="E38">
        <v>1156</v>
      </c>
      <c r="F38">
        <f>VLOOKUP(C38,[1]Лист1!$A:$D,4,0)</f>
        <v>1156</v>
      </c>
      <c r="G38" t="s">
        <v>18</v>
      </c>
    </row>
    <row r="39" spans="1:7" x14ac:dyDescent="0.25">
      <c r="A39" t="s">
        <v>112</v>
      </c>
      <c r="B39" t="s">
        <v>16</v>
      </c>
      <c r="C39" t="s">
        <v>111</v>
      </c>
      <c r="D39" t="s">
        <v>10</v>
      </c>
      <c r="E39">
        <v>578</v>
      </c>
      <c r="F39">
        <f>VLOOKUP(C39,[1]Лист1!$A:$D,4,0)</f>
        <v>578</v>
      </c>
      <c r="G39" t="s">
        <v>17</v>
      </c>
    </row>
    <row r="40" spans="1:7" x14ac:dyDescent="0.25">
      <c r="A40" t="s">
        <v>114</v>
      </c>
      <c r="B40" t="s">
        <v>115</v>
      </c>
      <c r="C40" t="s">
        <v>113</v>
      </c>
      <c r="D40" t="s">
        <v>10</v>
      </c>
      <c r="E40">
        <v>1156</v>
      </c>
      <c r="F40">
        <f>VLOOKUP(C40,[1]Лист1!$A:$D,4,0)</f>
        <v>1156</v>
      </c>
      <c r="G40" t="s">
        <v>22</v>
      </c>
    </row>
    <row r="41" spans="1:7" x14ac:dyDescent="0.25">
      <c r="A41" t="s">
        <v>117</v>
      </c>
      <c r="C41" t="s">
        <v>116</v>
      </c>
      <c r="D41" t="s">
        <v>10</v>
      </c>
      <c r="E41">
        <v>1156</v>
      </c>
      <c r="F41">
        <f>VLOOKUP(C41,[1]Лист1!$A:$D,4,0)</f>
        <v>1156</v>
      </c>
      <c r="G41" t="s">
        <v>18</v>
      </c>
    </row>
    <row r="42" spans="1:7" x14ac:dyDescent="0.25">
      <c r="A42" t="s">
        <v>119</v>
      </c>
      <c r="B42" t="s">
        <v>120</v>
      </c>
      <c r="C42" t="s">
        <v>118</v>
      </c>
      <c r="D42" t="s">
        <v>8</v>
      </c>
      <c r="E42">
        <v>578</v>
      </c>
      <c r="F42" t="str">
        <f>VLOOKUP(C42,[1]Лист1!$A:$D,4,0)</f>
        <v>проверить остатки в ячейках</v>
      </c>
      <c r="G42" t="s">
        <v>17</v>
      </c>
    </row>
    <row r="43" spans="1:7" x14ac:dyDescent="0.25">
      <c r="A43" t="s">
        <v>122</v>
      </c>
      <c r="B43" t="s">
        <v>123</v>
      </c>
      <c r="C43" t="s">
        <v>121</v>
      </c>
      <c r="D43" t="s">
        <v>10</v>
      </c>
      <c r="E43">
        <v>578</v>
      </c>
      <c r="F43">
        <f>VLOOKUP(C43,[1]Лист1!$A:$D,4,0)</f>
        <v>578</v>
      </c>
      <c r="G43" t="s">
        <v>18</v>
      </c>
    </row>
    <row r="44" spans="1:7" x14ac:dyDescent="0.25">
      <c r="A44" t="s">
        <v>125</v>
      </c>
      <c r="C44" t="s">
        <v>124</v>
      </c>
      <c r="D44" t="s">
        <v>10</v>
      </c>
      <c r="E44">
        <v>1156</v>
      </c>
      <c r="F44">
        <f>VLOOKUP(C44,[1]Лист1!$A:$D,4,0)</f>
        <v>1156</v>
      </c>
      <c r="G44" t="s">
        <v>22</v>
      </c>
    </row>
    <row r="45" spans="1:7" x14ac:dyDescent="0.25">
      <c r="A45" t="s">
        <v>127</v>
      </c>
      <c r="C45" t="s">
        <v>126</v>
      </c>
      <c r="D45" t="s">
        <v>10</v>
      </c>
      <c r="E45">
        <v>578</v>
      </c>
      <c r="F45">
        <f>VLOOKUP(C45,[1]Лист1!$A:$D,4,0)</f>
        <v>578</v>
      </c>
      <c r="G45" t="s">
        <v>22</v>
      </c>
    </row>
    <row r="46" spans="1:7" x14ac:dyDescent="0.25">
      <c r="A46" t="s">
        <v>129</v>
      </c>
      <c r="B46" t="s">
        <v>130</v>
      </c>
      <c r="C46" t="s">
        <v>128</v>
      </c>
      <c r="D46" t="s">
        <v>10</v>
      </c>
      <c r="E46">
        <v>578</v>
      </c>
      <c r="F46">
        <f>VLOOKUP(C46,[1]Лист1!$A:$D,4,0)</f>
        <v>578</v>
      </c>
      <c r="G46" t="s">
        <v>22</v>
      </c>
    </row>
    <row r="47" spans="1:7" x14ac:dyDescent="0.25">
      <c r="A47" t="s">
        <v>132</v>
      </c>
      <c r="B47" t="s">
        <v>133</v>
      </c>
      <c r="C47" t="s">
        <v>131</v>
      </c>
      <c r="D47" t="s">
        <v>10</v>
      </c>
      <c r="E47">
        <v>578</v>
      </c>
      <c r="F47">
        <f>VLOOKUP(C47,[1]Лист1!$A:$D,4,0)</f>
        <v>578</v>
      </c>
      <c r="G47" t="s">
        <v>22</v>
      </c>
    </row>
    <row r="48" spans="1:7" x14ac:dyDescent="0.25">
      <c r="A48" t="s">
        <v>135</v>
      </c>
      <c r="B48" t="s">
        <v>136</v>
      </c>
      <c r="C48" t="s">
        <v>134</v>
      </c>
      <c r="D48" t="s">
        <v>10</v>
      </c>
      <c r="E48">
        <v>578</v>
      </c>
      <c r="F48">
        <f>VLOOKUP(C48,[1]Лист1!$A:$D,4,0)</f>
        <v>578</v>
      </c>
      <c r="G48" t="s">
        <v>22</v>
      </c>
    </row>
    <row r="49" spans="1:7" x14ac:dyDescent="0.25">
      <c r="A49" t="s">
        <v>138</v>
      </c>
      <c r="C49" t="s">
        <v>137</v>
      </c>
      <c r="D49" t="s">
        <v>10</v>
      </c>
      <c r="E49">
        <v>578</v>
      </c>
      <c r="F49">
        <f>VLOOKUP(C49,[1]Лист1!$A:$D,4,0)</f>
        <v>578</v>
      </c>
      <c r="G49" t="s">
        <v>22</v>
      </c>
    </row>
    <row r="50" spans="1:7" x14ac:dyDescent="0.25">
      <c r="A50" t="s">
        <v>140</v>
      </c>
      <c r="B50" t="s">
        <v>141</v>
      </c>
      <c r="C50" t="s">
        <v>139</v>
      </c>
      <c r="D50" t="s">
        <v>10</v>
      </c>
      <c r="E50">
        <v>578</v>
      </c>
      <c r="F50">
        <f>VLOOKUP(C50,[1]Лист1!$A:$D,4,0)</f>
        <v>578</v>
      </c>
      <c r="G50" t="s">
        <v>22</v>
      </c>
    </row>
    <row r="51" spans="1:7" x14ac:dyDescent="0.25">
      <c r="A51" t="s">
        <v>143</v>
      </c>
      <c r="B51" t="s">
        <v>144</v>
      </c>
      <c r="C51" t="s">
        <v>142</v>
      </c>
      <c r="D51" t="s">
        <v>10</v>
      </c>
      <c r="E51">
        <v>1156</v>
      </c>
      <c r="F51">
        <f>VLOOKUP(C51,[1]Лист1!$A:$D,4,0)</f>
        <v>1156</v>
      </c>
      <c r="G51" t="s">
        <v>18</v>
      </c>
    </row>
    <row r="52" spans="1:7" x14ac:dyDescent="0.25">
      <c r="A52" t="s">
        <v>146</v>
      </c>
      <c r="B52" t="s">
        <v>147</v>
      </c>
      <c r="C52" t="s">
        <v>145</v>
      </c>
      <c r="D52" t="s">
        <v>10</v>
      </c>
      <c r="E52">
        <v>578</v>
      </c>
      <c r="F52">
        <f>VLOOKUP(C52,[1]Лист1!$A:$D,4,0)</f>
        <v>578</v>
      </c>
      <c r="G52" t="s">
        <v>22</v>
      </c>
    </row>
    <row r="53" spans="1:7" x14ac:dyDescent="0.25">
      <c r="A53" t="s">
        <v>149</v>
      </c>
      <c r="B53" t="s">
        <v>150</v>
      </c>
      <c r="C53" t="s">
        <v>148</v>
      </c>
      <c r="D53" t="s">
        <v>10</v>
      </c>
      <c r="E53">
        <v>1156</v>
      </c>
      <c r="F53">
        <f>VLOOKUP(C53,[1]Лист1!$A:$D,4,0)</f>
        <v>1156</v>
      </c>
      <c r="G53" t="s">
        <v>18</v>
      </c>
    </row>
    <row r="54" spans="1:7" x14ac:dyDescent="0.25">
      <c r="A54" t="s">
        <v>152</v>
      </c>
      <c r="B54" t="s">
        <v>153</v>
      </c>
      <c r="C54" t="s">
        <v>151</v>
      </c>
      <c r="D54" t="s">
        <v>10</v>
      </c>
      <c r="E54">
        <v>578</v>
      </c>
      <c r="F54">
        <f>VLOOKUP(C54,[1]Лист1!$A:$D,4,0)</f>
        <v>578</v>
      </c>
      <c r="G54" t="s">
        <v>22</v>
      </c>
    </row>
    <row r="55" spans="1:7" x14ac:dyDescent="0.25">
      <c r="A55" t="s">
        <v>155</v>
      </c>
      <c r="B55" t="s">
        <v>156</v>
      </c>
      <c r="C55" t="s">
        <v>154</v>
      </c>
      <c r="D55" t="s">
        <v>10</v>
      </c>
      <c r="E55">
        <v>1156</v>
      </c>
      <c r="F55">
        <f>VLOOKUP(C55,[1]Лист1!$A:$D,4,0)</f>
        <v>1156</v>
      </c>
      <c r="G55" t="s">
        <v>18</v>
      </c>
    </row>
    <row r="56" spans="1:7" x14ac:dyDescent="0.25">
      <c r="A56" t="s">
        <v>158</v>
      </c>
      <c r="B56" t="s">
        <v>16</v>
      </c>
      <c r="C56" t="s">
        <v>157</v>
      </c>
      <c r="D56" t="s">
        <v>10</v>
      </c>
      <c r="E56">
        <v>578</v>
      </c>
      <c r="F56">
        <f>VLOOKUP(C56,[1]Лист1!$A:$D,4,0)</f>
        <v>578</v>
      </c>
      <c r="G56" t="s">
        <v>17</v>
      </c>
    </row>
    <row r="57" spans="1:7" x14ac:dyDescent="0.25">
      <c r="A57" t="s">
        <v>160</v>
      </c>
      <c r="B57" t="s">
        <v>161</v>
      </c>
      <c r="C57" t="s">
        <v>159</v>
      </c>
      <c r="D57" t="s">
        <v>10</v>
      </c>
      <c r="E57">
        <v>1156</v>
      </c>
      <c r="F57">
        <f>VLOOKUP(C57,[1]Лист1!$A:$D,4,0)</f>
        <v>1156</v>
      </c>
      <c r="G57" t="s">
        <v>18</v>
      </c>
    </row>
    <row r="58" spans="1:7" x14ac:dyDescent="0.25">
      <c r="A58" t="s">
        <v>163</v>
      </c>
      <c r="B58" t="s">
        <v>164</v>
      </c>
      <c r="C58" t="s">
        <v>162</v>
      </c>
      <c r="D58" t="s">
        <v>10</v>
      </c>
      <c r="E58">
        <v>578</v>
      </c>
      <c r="F58">
        <f>VLOOKUP(C58,[1]Лист1!$A:$D,4,0)</f>
        <v>578</v>
      </c>
      <c r="G58" t="s">
        <v>18</v>
      </c>
    </row>
    <row r="59" spans="1:7" x14ac:dyDescent="0.25">
      <c r="A59" t="s">
        <v>166</v>
      </c>
      <c r="C59" t="s">
        <v>165</v>
      </c>
      <c r="D59" t="s">
        <v>10</v>
      </c>
      <c r="E59">
        <v>578</v>
      </c>
      <c r="F59">
        <f>VLOOKUP(C59,[1]Лист1!$A:$D,4,0)</f>
        <v>550</v>
      </c>
      <c r="G59" t="s">
        <v>17</v>
      </c>
    </row>
    <row r="60" spans="1:7" x14ac:dyDescent="0.25">
      <c r="A60" t="s">
        <v>168</v>
      </c>
      <c r="C60" t="s">
        <v>167</v>
      </c>
      <c r="D60" t="s">
        <v>10</v>
      </c>
      <c r="E60">
        <v>578</v>
      </c>
      <c r="F60">
        <f>VLOOKUP(C60,[1]Лист1!$A:$D,4,0)</f>
        <v>550</v>
      </c>
      <c r="G60" t="s">
        <v>22</v>
      </c>
    </row>
    <row r="61" spans="1:7" x14ac:dyDescent="0.25">
      <c r="A61" t="s">
        <v>170</v>
      </c>
      <c r="C61" t="s">
        <v>169</v>
      </c>
      <c r="D61" t="s">
        <v>10</v>
      </c>
      <c r="E61">
        <v>578</v>
      </c>
      <c r="F61">
        <f>VLOOKUP(C61,[1]Лист1!$A:$D,4,0)</f>
        <v>550</v>
      </c>
      <c r="G61" t="s">
        <v>18</v>
      </c>
    </row>
    <row r="62" spans="1:7" x14ac:dyDescent="0.25">
      <c r="A62" t="s">
        <v>172</v>
      </c>
      <c r="B62" t="s">
        <v>173</v>
      </c>
      <c r="C62" t="s">
        <v>171</v>
      </c>
      <c r="D62" t="s">
        <v>10</v>
      </c>
      <c r="E62">
        <v>5202</v>
      </c>
      <c r="F62">
        <f>VLOOKUP(C62,[1]Лист1!$A:$D,4,0)</f>
        <v>5202</v>
      </c>
      <c r="G62" t="s">
        <v>18</v>
      </c>
    </row>
    <row r="63" spans="1:7" x14ac:dyDescent="0.25">
      <c r="A63" t="s">
        <v>175</v>
      </c>
      <c r="B63" t="s">
        <v>176</v>
      </c>
      <c r="C63" t="s">
        <v>174</v>
      </c>
      <c r="D63" t="s">
        <v>10</v>
      </c>
      <c r="E63">
        <v>1156</v>
      </c>
      <c r="F63">
        <f>VLOOKUP(C63,[1]Лист1!$A:$D,4,0)</f>
        <v>1156</v>
      </c>
      <c r="G63" t="s">
        <v>18</v>
      </c>
    </row>
    <row r="64" spans="1:7" x14ac:dyDescent="0.25">
      <c r="A64" t="s">
        <v>178</v>
      </c>
      <c r="B64" t="s">
        <v>179</v>
      </c>
      <c r="C64" t="s">
        <v>177</v>
      </c>
      <c r="D64" t="s">
        <v>8</v>
      </c>
      <c r="E64">
        <v>1156</v>
      </c>
      <c r="F64" t="str">
        <f>VLOOKUP(C64,[1]Лист1!$A:$D,4,0)</f>
        <v>проверить остатки в ячейках</v>
      </c>
      <c r="G64" t="s">
        <v>22</v>
      </c>
    </row>
    <row r="65" spans="1:7" x14ac:dyDescent="0.25">
      <c r="A65" t="s">
        <v>181</v>
      </c>
      <c r="B65" t="s">
        <v>182</v>
      </c>
      <c r="C65" t="s">
        <v>180</v>
      </c>
      <c r="D65" t="s">
        <v>10</v>
      </c>
      <c r="E65">
        <v>4046</v>
      </c>
      <c r="F65">
        <f>VLOOKUP(C65,[1]Лист1!$A:$D,4,0)</f>
        <v>4046</v>
      </c>
      <c r="G65" t="s">
        <v>18</v>
      </c>
    </row>
    <row r="66" spans="1:7" x14ac:dyDescent="0.25">
      <c r="A66" t="s">
        <v>184</v>
      </c>
      <c r="B66" t="s">
        <v>185</v>
      </c>
      <c r="C66" t="s">
        <v>183</v>
      </c>
      <c r="D66" t="s">
        <v>10</v>
      </c>
      <c r="E66">
        <v>4046</v>
      </c>
      <c r="F66">
        <f>VLOOKUP(C66,[1]Лист1!$A:$D,4,0)</f>
        <v>4046</v>
      </c>
      <c r="G66" t="s">
        <v>22</v>
      </c>
    </row>
    <row r="67" spans="1:7" x14ac:dyDescent="0.25">
      <c r="A67" t="s">
        <v>187</v>
      </c>
      <c r="B67" t="s">
        <v>188</v>
      </c>
      <c r="C67" t="s">
        <v>186</v>
      </c>
      <c r="D67" t="s">
        <v>8</v>
      </c>
      <c r="E67">
        <v>1156</v>
      </c>
      <c r="F67">
        <f>VLOOKUP(C67,[1]Лист1!$A:$D,4,0)</f>
        <v>1156</v>
      </c>
      <c r="G67" t="s">
        <v>18</v>
      </c>
    </row>
    <row r="68" spans="1:7" x14ac:dyDescent="0.25">
      <c r="A68" t="s">
        <v>190</v>
      </c>
      <c r="B68" t="s">
        <v>191</v>
      </c>
      <c r="C68" t="s">
        <v>189</v>
      </c>
      <c r="D68" t="s">
        <v>8</v>
      </c>
      <c r="E68">
        <v>3468</v>
      </c>
      <c r="F68">
        <f>VLOOKUP(C68,[1]Лист1!$A:$D,4,0)</f>
        <v>3468</v>
      </c>
      <c r="G68" t="s">
        <v>18</v>
      </c>
    </row>
    <row r="69" spans="1:7" x14ac:dyDescent="0.25">
      <c r="A69" t="s">
        <v>193</v>
      </c>
      <c r="B69" t="s">
        <v>194</v>
      </c>
      <c r="C69" t="s">
        <v>192</v>
      </c>
      <c r="D69" t="s">
        <v>8</v>
      </c>
      <c r="E69">
        <v>1734</v>
      </c>
      <c r="F69">
        <f>VLOOKUP(C69,[1]Лист1!$A:$D,4,0)</f>
        <v>1734</v>
      </c>
      <c r="G69" t="s">
        <v>18</v>
      </c>
    </row>
    <row r="70" spans="1:7" x14ac:dyDescent="0.25">
      <c r="A70" t="s">
        <v>196</v>
      </c>
      <c r="C70" t="s">
        <v>195</v>
      </c>
      <c r="D70" t="s">
        <v>10</v>
      </c>
      <c r="E70">
        <v>1734</v>
      </c>
      <c r="F70">
        <f>VLOOKUP(C70,[1]Лист1!$A:$D,4,0)</f>
        <v>1734</v>
      </c>
      <c r="G70" t="s">
        <v>22</v>
      </c>
    </row>
    <row r="71" spans="1:7" x14ac:dyDescent="0.25">
      <c r="A71" t="s">
        <v>198</v>
      </c>
      <c r="B71" t="s">
        <v>199</v>
      </c>
      <c r="C71" t="s">
        <v>197</v>
      </c>
      <c r="D71" t="s">
        <v>8</v>
      </c>
      <c r="E71">
        <v>1156</v>
      </c>
      <c r="F71">
        <f>VLOOKUP(C71,[1]Лист1!$A:$D,4,0)</f>
        <v>1156</v>
      </c>
      <c r="G71" t="s">
        <v>18</v>
      </c>
    </row>
    <row r="72" spans="1:7" x14ac:dyDescent="0.25">
      <c r="A72" t="s">
        <v>201</v>
      </c>
      <c r="B72" t="s">
        <v>202</v>
      </c>
      <c r="C72" t="s">
        <v>200</v>
      </c>
      <c r="D72" t="s">
        <v>8</v>
      </c>
      <c r="E72">
        <v>1156</v>
      </c>
      <c r="F72">
        <f>VLOOKUP(C72,[1]Лист1!$A:$D,4,0)</f>
        <v>1156</v>
      </c>
      <c r="G72" t="s">
        <v>18</v>
      </c>
    </row>
    <row r="73" spans="1:7" x14ac:dyDescent="0.25">
      <c r="A73" t="s">
        <v>204</v>
      </c>
      <c r="B73" t="s">
        <v>205</v>
      </c>
      <c r="C73" t="s">
        <v>203</v>
      </c>
      <c r="D73" t="s">
        <v>10</v>
      </c>
      <c r="E73">
        <v>6358</v>
      </c>
      <c r="F73">
        <f>VLOOKUP(C73,[1]Лист1!$A:$D,4,0)</f>
        <v>6358</v>
      </c>
      <c r="G73" t="s">
        <v>18</v>
      </c>
    </row>
    <row r="74" spans="1:7" x14ac:dyDescent="0.25">
      <c r="A74" t="s">
        <v>207</v>
      </c>
      <c r="B74" t="s">
        <v>208</v>
      </c>
      <c r="C74" t="s">
        <v>206</v>
      </c>
      <c r="D74" t="s">
        <v>8</v>
      </c>
      <c r="E74">
        <v>578</v>
      </c>
      <c r="F74" t="str">
        <f>VLOOKUP(C74,[1]Лист1!$A:$D,4,0)</f>
        <v>проверить остатки в ячейках</v>
      </c>
      <c r="G74" t="s">
        <v>22</v>
      </c>
    </row>
    <row r="75" spans="1:7" x14ac:dyDescent="0.25">
      <c r="A75" t="s">
        <v>210</v>
      </c>
      <c r="B75" t="s">
        <v>211</v>
      </c>
      <c r="C75" t="s">
        <v>209</v>
      </c>
      <c r="D75" t="s">
        <v>8</v>
      </c>
      <c r="E75">
        <v>578</v>
      </c>
      <c r="F75" t="str">
        <f>VLOOKUP(C75,[1]Лист1!$A:$D,4,0)</f>
        <v>проверить остатки в ячейках</v>
      </c>
      <c r="G75" t="s">
        <v>22</v>
      </c>
    </row>
    <row r="76" spans="1:7" x14ac:dyDescent="0.25">
      <c r="A76" t="s">
        <v>213</v>
      </c>
      <c r="B76" t="s">
        <v>214</v>
      </c>
      <c r="C76" t="s">
        <v>212</v>
      </c>
      <c r="D76" t="s">
        <v>8</v>
      </c>
      <c r="E76">
        <v>578</v>
      </c>
      <c r="F76" t="str">
        <f>VLOOKUP(C76,[1]Лист1!$A:$D,4,0)</f>
        <v>проверить остатки в ячейках</v>
      </c>
      <c r="G76" t="s">
        <v>17</v>
      </c>
    </row>
    <row r="77" spans="1:7" x14ac:dyDescent="0.25">
      <c r="A77" t="s">
        <v>216</v>
      </c>
      <c r="C77" t="s">
        <v>215</v>
      </c>
      <c r="D77" t="s">
        <v>10</v>
      </c>
      <c r="E77">
        <v>578</v>
      </c>
      <c r="F77">
        <f>VLOOKUP(C77,[1]Лист1!$A:$D,4,0)</f>
        <v>578</v>
      </c>
      <c r="G77" t="s">
        <v>22</v>
      </c>
    </row>
    <row r="78" spans="1:7" x14ac:dyDescent="0.25">
      <c r="A78" t="s">
        <v>218</v>
      </c>
      <c r="B78" t="s">
        <v>219</v>
      </c>
      <c r="C78" t="s">
        <v>217</v>
      </c>
      <c r="D78" t="s">
        <v>8</v>
      </c>
      <c r="E78">
        <v>578</v>
      </c>
      <c r="F78" t="str">
        <f>VLOOKUP(C78,[1]Лист1!$A:$D,4,0)</f>
        <v>проверить остатки в ячейках</v>
      </c>
      <c r="G78" t="s">
        <v>22</v>
      </c>
    </row>
    <row r="79" spans="1:7" x14ac:dyDescent="0.25">
      <c r="A79" t="s">
        <v>221</v>
      </c>
      <c r="B79" t="s">
        <v>222</v>
      </c>
      <c r="C79" t="s">
        <v>220</v>
      </c>
      <c r="D79" t="s">
        <v>10</v>
      </c>
      <c r="E79">
        <v>1156</v>
      </c>
      <c r="F79">
        <f>VLOOKUP(C79,[1]Лист1!$A:$D,4,0)</f>
        <v>1156</v>
      </c>
      <c r="G79" t="s">
        <v>18</v>
      </c>
    </row>
    <row r="80" spans="1:7" x14ac:dyDescent="0.25">
      <c r="A80" t="s">
        <v>224</v>
      </c>
      <c r="B80" t="s">
        <v>225</v>
      </c>
      <c r="C80" t="s">
        <v>223</v>
      </c>
      <c r="D80" t="s">
        <v>8</v>
      </c>
      <c r="E80">
        <v>578</v>
      </c>
      <c r="F80" t="str">
        <f>VLOOKUP(C80,[1]Лист1!$A:$D,4,0)</f>
        <v>проверить остатки в ячейках</v>
      </c>
      <c r="G80" t="s">
        <v>22</v>
      </c>
    </row>
    <row r="81" spans="1:7" x14ac:dyDescent="0.25">
      <c r="A81" t="s">
        <v>227</v>
      </c>
      <c r="C81" t="s">
        <v>226</v>
      </c>
      <c r="D81" t="s">
        <v>10</v>
      </c>
      <c r="E81">
        <v>578</v>
      </c>
      <c r="F81">
        <f>VLOOKUP(C81,[1]Лист1!$A:$D,4,0)</f>
        <v>578</v>
      </c>
      <c r="G81" t="s">
        <v>22</v>
      </c>
    </row>
    <row r="82" spans="1:7" x14ac:dyDescent="0.25">
      <c r="A82" t="s">
        <v>229</v>
      </c>
      <c r="B82" t="s">
        <v>230</v>
      </c>
      <c r="C82" t="s">
        <v>228</v>
      </c>
      <c r="D82" t="s">
        <v>10</v>
      </c>
      <c r="E82">
        <v>578</v>
      </c>
      <c r="F82">
        <f>VLOOKUP(C82,[1]Лист1!$A:$D,4,0)</f>
        <v>578</v>
      </c>
      <c r="G82" t="s">
        <v>22</v>
      </c>
    </row>
    <row r="83" spans="1:7" x14ac:dyDescent="0.25">
      <c r="A83" t="s">
        <v>232</v>
      </c>
      <c r="B83" t="s">
        <v>233</v>
      </c>
      <c r="C83" t="s">
        <v>231</v>
      </c>
      <c r="D83" t="s">
        <v>8</v>
      </c>
      <c r="E83">
        <v>578</v>
      </c>
      <c r="F83" t="str">
        <f>VLOOKUP(C83,[1]Лист1!$A:$D,4,0)</f>
        <v>проверить остатки в ячейках</v>
      </c>
      <c r="G83" t="s">
        <v>22</v>
      </c>
    </row>
    <row r="84" spans="1:7" x14ac:dyDescent="0.25">
      <c r="A84" t="s">
        <v>235</v>
      </c>
      <c r="B84" t="s">
        <v>236</v>
      </c>
      <c r="C84" t="s">
        <v>234</v>
      </c>
      <c r="D84" t="s">
        <v>10</v>
      </c>
      <c r="E84">
        <v>1156</v>
      </c>
      <c r="F84">
        <f>VLOOKUP(C84,[1]Лист1!$A:$D,4,0)</f>
        <v>1156</v>
      </c>
      <c r="G84" t="s">
        <v>18</v>
      </c>
    </row>
    <row r="85" spans="1:7" x14ac:dyDescent="0.25">
      <c r="A85" t="s">
        <v>238</v>
      </c>
      <c r="B85" t="s">
        <v>16</v>
      </c>
      <c r="C85" t="s">
        <v>237</v>
      </c>
      <c r="D85" t="s">
        <v>10</v>
      </c>
      <c r="E85">
        <v>2312</v>
      </c>
      <c r="F85">
        <f>VLOOKUP(C85,[1]Лист1!$A:$D,4,0)</f>
        <v>2312</v>
      </c>
      <c r="G85" t="s">
        <v>17</v>
      </c>
    </row>
    <row r="86" spans="1:7" x14ac:dyDescent="0.25">
      <c r="A86" t="s">
        <v>240</v>
      </c>
      <c r="B86" t="s">
        <v>241</v>
      </c>
      <c r="C86" t="s">
        <v>239</v>
      </c>
      <c r="D86" t="s">
        <v>10</v>
      </c>
      <c r="E86">
        <v>1734</v>
      </c>
      <c r="F86">
        <f>VLOOKUP(C86,[1]Лист1!$A:$D,4,0)</f>
        <v>1734</v>
      </c>
      <c r="G86" t="s">
        <v>18</v>
      </c>
    </row>
    <row r="87" spans="1:7" x14ac:dyDescent="0.25">
      <c r="A87" t="s">
        <v>243</v>
      </c>
      <c r="B87" t="s">
        <v>244</v>
      </c>
      <c r="C87" t="s">
        <v>242</v>
      </c>
      <c r="D87" t="s">
        <v>10</v>
      </c>
      <c r="E87">
        <v>1734</v>
      </c>
      <c r="F87">
        <f>VLOOKUP(C87,[1]Лист1!$A:$D,4,0)</f>
        <v>1734</v>
      </c>
      <c r="G87" t="s">
        <v>17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 Sharonov</dc:creator>
  <cp:lastModifiedBy>Alexey Sharonov</cp:lastModifiedBy>
  <dcterms:created xsi:type="dcterms:W3CDTF">2015-06-05T18:19:34Z</dcterms:created>
  <dcterms:modified xsi:type="dcterms:W3CDTF">2022-01-12T14:32:10Z</dcterms:modified>
</cp:coreProperties>
</file>